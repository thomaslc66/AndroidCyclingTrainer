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B4FDC90-5544-1132-1422-08BA33ACC695}"/>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8"/>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 name="Graphique" sheetId="168" r:id="rId9"/>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JNLTRAV!$A$1:$D$94</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C56" i="168" l="1"/>
  <c r="C55" i="168"/>
  <c r="B53" i="168"/>
  <c r="B51" i="168"/>
  <c r="B49" i="168"/>
  <c r="B47" i="168"/>
  <c r="B45" i="168"/>
  <c r="B43" i="168"/>
  <c r="B41" i="168"/>
  <c r="B39" i="168"/>
  <c r="B37" i="168"/>
  <c r="B35" i="168"/>
  <c r="B33" i="168"/>
  <c r="B31" i="168"/>
  <c r="B29" i="168"/>
  <c r="B27" i="168"/>
  <c r="B25" i="168"/>
  <c r="B23" i="168"/>
  <c r="B21" i="168"/>
  <c r="B19" i="168"/>
  <c r="B17" i="168"/>
  <c r="B15" i="168"/>
  <c r="B13" i="168"/>
  <c r="B11" i="168"/>
  <c r="B9" i="168"/>
  <c r="B7" i="168"/>
  <c r="B5" i="168"/>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3" i="163" l="1"/>
  <c r="B74" i="163"/>
  <c r="B56" i="163"/>
  <c r="B37" i="163"/>
  <c r="B18" i="163"/>
  <c r="B69" i="162"/>
  <c r="B55" i="162"/>
  <c r="B41" i="162"/>
  <c r="B27" i="162"/>
  <c r="B13" i="162"/>
  <c r="B18" i="154" l="1"/>
  <c r="B13" i="11"/>
</calcChain>
</file>

<file path=xl/sharedStrings.xml><?xml version="1.0" encoding="utf-8"?>
<sst xmlns="http://schemas.openxmlformats.org/spreadsheetml/2006/main" count="309" uniqueCount="135">
  <si>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</si>
  <si>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</si>
  <si>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</si>
  <si>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</si>
  <si>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</si>
  <si>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</si>
  <si>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</si>
  <si>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</si>
  <si>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</si>
  <si>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</si>
  <si>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</si>
  <si>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</si>
  <si>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</si>
  <si>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</si>
  <si>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</si>
  <si>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</si>
  <si>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</si>
  <si>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</si>
  <si>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</si>
  <si>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</si>
  <si>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</si>
  <si>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</si>
  <si>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</si>
  <si>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</si>
  <si>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</si>
  <si>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</si>
  <si>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</si>
  <si>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</si>
  <si>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</si>
  <si>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</si>
  <si>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</si>
  <si>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</si>
  <si>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</si>
  <si>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</si>
  <si>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</si>
  <si>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</si>
  <si>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</si>
  <si>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</si>
  <si>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</si>
  <si>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</si>
  <si>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</si>
  <si>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</si>
  <si>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</si>
  <si>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</si>
  <si>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</si>
  <si>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</si>
  <si>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</si>
  <si>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</si>
  <si>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</si>
  <si>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</si>
  <si>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</si>
  <si>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</si>
  <si>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</si>
  <si>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</si>
  <si>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</si>
  <si>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</si>
  <si>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</si>
  <si>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</si>
  <si>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</si>
  <si>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</si>
  <si>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</si>
  <si>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</si>
  <si>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</si>
  <si>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</si>
  <si>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</si>
  <si>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</si>
  <si>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</si>
  <si>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</si>
  <si>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</si>
  <si>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</si>
  <si>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</si>
  <si>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</si>
  <si>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</si>
  <si>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</si>
  <si>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</si>
  <si>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</si>
  <si>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</si>
  <si>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</si>
  <si>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</si>
  <si>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</si>
  <si>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</si>
  <si>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</si>
  <si>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</si>
  <si>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</si>
  <si>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</si>
  <si>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</si>
  <si>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</si>
  <si>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</si>
  <si>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</si>
  <si>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</si>
  <si>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</si>
  <si>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</si>
  <si>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</si>
  <si>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</si>
  <si>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</si>
  <si>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</si>
  <si>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</si>
  <si>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</si>
  <si>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</si>
  <si>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</si>
  <si>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</si>
  <si>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</si>
  <si>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</si>
  <si>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Fin de rédaction de la partie Analyse, Manque encore la partie sur les tests.</t>
  </si>
  <si>
    <t>Fin de la réflexion sur la base de données et son implémentation.</t>
  </si>
  <si>
    <t>Création des interfaces perdues et fin de création des interfaces graphiques.
Schéma des classes UML et MLD pour la base de données. 
Qui n'avaient pas été pris en compte lors de la planification.</t>
  </si>
  <si>
    <t>Rédaction de la partie fonctionnalité concernant les interfaces.
Mise en page</t>
  </si>
  <si>
    <t>Installation d'android studio et début de création des interfaces Utilisateurs à partir des schéma visio.</t>
  </si>
  <si>
    <t>Création des classes java correspondant aux interfaces déjà créées et initialisation/déclaration des éléments de l'UI. (voir réalisation)</t>
  </si>
  <si>
    <t>Design de l'interface pour les éléments de l'entraînement (séquences)</t>
  </si>
  <si>
    <t>Rédaction du journal de travail et de la partie Hiérarchie des activités/vues</t>
  </si>
  <si>
    <t>Rédaction de la parite base de données dans le rapport et début de rédaction de la partie réalisation.</t>
  </si>
  <si>
    <t>Suite au fichier visio corrumpu une partie des interfaces n'a pas pu être terminée. 30 quart d'heures étaient prévus et 25 ont été réalisés</t>
  </si>
  <si>
    <t xml:space="preserve"> - Retouches et création des boîtes des dialogues qui avaient été oubliées.
 - Utilisation de la zone tampon et d'une partie du temps mis a disposition pour la documentation suite à l'endommagement du fichier Visio</t>
  </si>
  <si>
    <t xml:space="preserve"> - Apparitions des difficultés après dessin de l'interface.
 - Reflexion sur la base de données et l'implémentation/Sauvegarde des éléments dans les séquences. Que doit-on rendre obligatoire et que doit-on pouvoir laisser vide?
 - utilisation d'une partie du temps imparti à la documentation pour réaliser l'analyse correctement. Principalement pour la partie sur la base de données.</t>
  </si>
  <si>
    <t>Visite de l'expert pour mon TPI</t>
  </si>
  <si>
    <t>Très peu de temps nécessaire pour l'implémentation de la base de données
3 classes a créer -&gt; rapide</t>
  </si>
  <si>
    <t>Connaissant la difficulté d'implémentation des timers, j'ai décidé de prendre du temps pour terminer cette partie de peur de ne pas pouvoir terminer à temps cette fonctionnalité. 
Bonne décision, car beaucoup de problèmes ont été rencontré et après deux jours de travail toujours pas de timer capable de se mettre en pause et de reprendre.</t>
  </si>
  <si>
    <t>Rédaction de la partie Réalisation sur les problèmes rencontrés pour le moment lors de l'implémentation des Timers</t>
  </si>
  <si>
    <t>Rédaction de la partie Réalisation sur l'implémentation des classes et méthodes pour la Base de Données</t>
  </si>
  <si>
    <t>Rédaction des modifications effectuées après la phase de debbuging par le chef de projet.</t>
  </si>
  <si>
    <t>Le chef de projet est venu tester l'application. Mise sur papier des remarques faites par le chef de projet au sujet du fonctionnement de l'application.</t>
  </si>
  <si>
    <t xml:space="preserve"> Correction de l'application par rapport aux remarques reçues.</t>
  </si>
  <si>
    <t>Résolution du problème en rapport avec l'indice de récupération</t>
  </si>
  <si>
    <t>En écrivant le rapport sur les méthodes de contrôles et en relisant mon algrorithme je me suis rendu compte qu'il était possible d'entrer des valeurs abérrantes comme fréquences cardiaques. J'ai donc changé les tests effectués dans les classes privées gérant le contrôle ajoutant des limites au valeurs acceptables.</t>
  </si>
  <si>
    <t xml:space="preserve">Problème avec la modification de l'indice de de récupération de l'entraînement, car la requête de récupération retournait null au lieu de renvoyer un entraînement. </t>
  </si>
  <si>
    <t xml:space="preserve">Vérification sommaire effectuée par un colègue.
Retouche des erreurs de mise en page.
Impression
Reliage des dossier
Création des CD et documents pour les experts
</t>
  </si>
  <si>
    <t>Lundi de Pentecôte</t>
  </si>
  <si>
    <t>Rédaction du rapport de travail. 
Partie réalisation et annexe</t>
  </si>
  <si>
    <t>Création de textWatcher et de classes privées pour contrôler les données entrées dans les boîtes des dialogues</t>
  </si>
  <si>
    <t>Implémentation des méthodes d'ajout et de la méthode pour supprimer les entraînements.</t>
  </si>
  <si>
    <t>Fin de l'implémentation des méthodes de suppréssion des séquences. 
La méthode pour l'enregistrement des modifications d'une séquence n'était pas encore développée. Quelques problèmes avec l'écriture de la requête.</t>
  </si>
  <si>
    <t>Après les précédent échecs. 
Les Timers fonctionnent grâce à l'utilisation d'un Handler et d'un Runnable qui tourne en boucle.</t>
  </si>
  <si>
    <t xml:space="preserve">Finalisation des parties: 
Réalisation.
Conclusion
Bilan(s)
Annexes
Lexique
</t>
  </si>
  <si>
    <t>Création de deux méthodes dans la classe RealmDB, une pour la Sauvegarde et une pour la récupération.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</si>
</sst>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0" fillId="9" borderId="0" xfId="0" applyFont="1" applyFill="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16" fillId="6" borderId="35" xfId="0" applyFont="1" applyFill="1" applyBorder="1" applyAlignment="1" applyProtection="1">
      <alignment vertical="center"/>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xf numFmtId="0" fontId="16" fillId="6" borderId="19" xfId="0" applyFont="1" applyFill="1" applyBorder="1" applyAlignment="1" applyProtection="1">
      <alignment horizontal="center" vertical="center"/>
    </xf>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21" t="s">
        <v>19</v>
      </c>
      <c r="C19" s="122"/>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zoomScale="85" zoomScaleNormal="85" zoomScaleSheetLayoutView="55" workbookViewId="0">
      <selection activeCell="C56" sqref="C3:C56"/>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23" t="s">
        <v>92</v>
      </c>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124"/>
      <c r="BU2" s="124"/>
      <c r="BV2" s="124"/>
      <c r="BW2" s="124"/>
      <c r="BX2" s="124"/>
      <c r="BY2" s="124"/>
      <c r="BZ2" s="124"/>
      <c r="CA2" s="124"/>
      <c r="CB2" s="124"/>
      <c r="CC2" s="124"/>
      <c r="CD2" s="124"/>
      <c r="CE2" s="124"/>
      <c r="CF2" s="124"/>
      <c r="CG2" s="124"/>
      <c r="CH2" s="124"/>
      <c r="CI2" s="124"/>
      <c r="CJ2" s="124"/>
      <c r="CK2" s="124"/>
      <c r="CL2" s="124"/>
      <c r="CM2" s="124"/>
      <c r="CN2" s="124"/>
      <c r="CO2" s="124"/>
      <c r="CP2" s="124"/>
      <c r="CQ2" s="124"/>
      <c r="CR2" s="124"/>
      <c r="CS2" s="124"/>
      <c r="CT2" s="124"/>
      <c r="CU2" s="124"/>
      <c r="CV2" s="124"/>
      <c r="CW2" s="124"/>
      <c r="CX2" s="124"/>
      <c r="CY2" s="124"/>
      <c r="CZ2" s="124"/>
      <c r="DA2" s="124"/>
      <c r="DB2" s="124"/>
      <c r="DC2" s="124"/>
      <c r="DD2" s="124"/>
      <c r="DE2" s="124"/>
      <c r="DF2" s="124"/>
      <c r="DG2" s="125"/>
      <c r="DH2" s="123" t="s">
        <v>93</v>
      </c>
      <c r="DI2" s="124"/>
      <c r="DJ2" s="124"/>
      <c r="DK2" s="124"/>
      <c r="DL2" s="124"/>
      <c r="DM2" s="124"/>
      <c r="DN2" s="124"/>
      <c r="DO2" s="124"/>
      <c r="DP2" s="124"/>
      <c r="DQ2" s="124"/>
      <c r="DR2" s="124"/>
      <c r="DS2" s="124"/>
      <c r="DT2" s="124"/>
      <c r="DU2" s="124"/>
      <c r="DV2" s="124"/>
      <c r="DW2" s="124"/>
      <c r="DX2" s="124"/>
      <c r="DY2" s="124"/>
      <c r="DZ2" s="124"/>
      <c r="EA2" s="124"/>
      <c r="EB2" s="124"/>
      <c r="EC2" s="124"/>
      <c r="ED2" s="124"/>
      <c r="EE2" s="124"/>
      <c r="EF2" s="124"/>
      <c r="EG2" s="124"/>
      <c r="EH2" s="124"/>
      <c r="EI2" s="124"/>
      <c r="EJ2" s="124"/>
      <c r="EK2" s="124"/>
      <c r="EL2" s="124"/>
      <c r="EM2" s="124"/>
      <c r="EN2" s="124"/>
      <c r="EO2" s="124"/>
      <c r="EP2" s="124"/>
      <c r="EQ2" s="124"/>
      <c r="ER2" s="124"/>
      <c r="ES2" s="124"/>
      <c r="ET2" s="124"/>
      <c r="EU2" s="124"/>
      <c r="EV2" s="124"/>
      <c r="EW2" s="124"/>
      <c r="EX2" s="124"/>
      <c r="EY2" s="124"/>
      <c r="EZ2" s="124"/>
      <c r="FA2" s="124"/>
      <c r="FB2" s="124"/>
      <c r="FC2" s="124"/>
      <c r="FD2" s="124"/>
      <c r="FE2" s="124"/>
      <c r="FF2" s="124"/>
      <c r="FG2" s="124"/>
      <c r="FH2" s="124"/>
      <c r="FI2" s="124"/>
      <c r="FJ2" s="124"/>
      <c r="FK2" s="124"/>
      <c r="FL2" s="124"/>
      <c r="FM2" s="124"/>
      <c r="FN2" s="124"/>
      <c r="FO2" s="124"/>
      <c r="FP2" s="124"/>
      <c r="FQ2" s="124"/>
      <c r="FR2" s="124"/>
      <c r="FS2" s="124"/>
      <c r="FT2" s="124"/>
      <c r="FU2" s="124"/>
      <c r="FV2" s="124"/>
      <c r="FW2" s="124"/>
      <c r="FX2" s="124"/>
      <c r="FY2" s="124"/>
      <c r="FZ2" s="124"/>
      <c r="GA2" s="124"/>
      <c r="GB2" s="124"/>
      <c r="GC2" s="124"/>
      <c r="GD2" s="124"/>
      <c r="GE2" s="124"/>
      <c r="GF2" s="124"/>
      <c r="GG2" s="124"/>
      <c r="GH2" s="124"/>
      <c r="GI2" s="124"/>
      <c r="GJ2" s="124"/>
      <c r="GK2" s="124"/>
      <c r="GL2" s="124"/>
      <c r="GM2" s="124"/>
      <c r="GN2" s="124"/>
      <c r="GO2" s="124"/>
      <c r="GP2" s="124"/>
      <c r="GQ2" s="124"/>
      <c r="GR2" s="124"/>
      <c r="GS2" s="124"/>
      <c r="GT2" s="124"/>
      <c r="GU2" s="124"/>
      <c r="GV2" s="124"/>
      <c r="GW2" s="124"/>
      <c r="GX2" s="124"/>
      <c r="GY2" s="124"/>
      <c r="GZ2" s="124"/>
      <c r="HA2" s="124"/>
      <c r="HB2" s="124"/>
      <c r="HC2" s="124"/>
      <c r="HD2" s="124"/>
      <c r="HE2" s="124"/>
      <c r="HF2" s="124"/>
      <c r="HG2" s="124"/>
      <c r="HH2" s="124"/>
      <c r="HI2" s="124"/>
      <c r="HJ2" s="124"/>
      <c r="HK2" s="125"/>
      <c r="HL2" s="123" t="s">
        <v>94</v>
      </c>
      <c r="HM2" s="124"/>
      <c r="HN2" s="124"/>
      <c r="HO2" s="124"/>
      <c r="HP2" s="124"/>
      <c r="HQ2" s="124"/>
      <c r="HR2" s="124"/>
      <c r="HS2" s="124"/>
      <c r="HT2" s="124"/>
      <c r="HU2" s="124"/>
      <c r="HV2" s="124"/>
      <c r="HW2" s="124"/>
      <c r="HX2" s="124"/>
      <c r="HY2" s="124"/>
      <c r="HZ2" s="124"/>
      <c r="IA2" s="124"/>
      <c r="IB2" s="124"/>
      <c r="IC2" s="124"/>
      <c r="ID2" s="124"/>
      <c r="IE2" s="124"/>
      <c r="IF2" s="124"/>
      <c r="IG2" s="124"/>
      <c r="IH2" s="124"/>
      <c r="II2" s="124"/>
      <c r="IJ2" s="124"/>
      <c r="IK2" s="124"/>
      <c r="IL2" s="124"/>
      <c r="IM2" s="124"/>
      <c r="IN2" s="124"/>
      <c r="IO2" s="124"/>
      <c r="IP2" s="124"/>
      <c r="IQ2" s="124"/>
      <c r="IR2" s="124"/>
      <c r="IS2" s="124"/>
      <c r="IT2" s="124"/>
      <c r="IU2" s="124"/>
      <c r="IV2" s="124"/>
      <c r="IW2" s="124"/>
      <c r="IX2" s="124"/>
      <c r="IY2" s="124"/>
      <c r="IZ2" s="124"/>
      <c r="JA2" s="124"/>
      <c r="JB2" s="124"/>
      <c r="JC2" s="124"/>
      <c r="JD2" s="124"/>
      <c r="JE2" s="124"/>
      <c r="JF2" s="124"/>
      <c r="JG2" s="124"/>
      <c r="JH2" s="124"/>
      <c r="JI2" s="124"/>
      <c r="JJ2" s="124"/>
      <c r="JK2" s="124"/>
      <c r="JL2" s="124"/>
      <c r="JM2" s="124"/>
      <c r="JN2" s="124"/>
      <c r="JO2" s="124"/>
      <c r="JP2" s="124"/>
      <c r="JQ2" s="124"/>
      <c r="JR2" s="124"/>
      <c r="JS2" s="124"/>
      <c r="JT2" s="124"/>
      <c r="JU2" s="124"/>
      <c r="JV2" s="124"/>
      <c r="JW2" s="124"/>
      <c r="JX2" s="124"/>
      <c r="JY2" s="124"/>
      <c r="JZ2" s="124"/>
      <c r="KA2" s="124"/>
      <c r="KB2" s="124"/>
      <c r="KC2" s="124"/>
      <c r="KD2" s="124"/>
      <c r="KE2" s="124"/>
      <c r="KF2" s="124"/>
      <c r="KG2" s="124"/>
      <c r="KH2" s="124"/>
      <c r="KI2" s="124"/>
      <c r="KJ2" s="124"/>
      <c r="KK2" s="124"/>
      <c r="KL2" s="124"/>
      <c r="KM2" s="124"/>
      <c r="KN2" s="124"/>
      <c r="KO2" s="124"/>
      <c r="KP2" s="124"/>
      <c r="KQ2" s="124"/>
      <c r="KR2" s="124"/>
      <c r="KS2" s="124"/>
      <c r="KT2" s="124"/>
      <c r="KU2" s="124"/>
      <c r="KV2" s="124"/>
      <c r="KW2" s="124"/>
      <c r="KX2" s="124"/>
      <c r="KY2" s="124"/>
      <c r="KZ2" s="124"/>
      <c r="LA2" s="124"/>
      <c r="LB2" s="124"/>
      <c r="LC2" s="124"/>
      <c r="LD2" s="124"/>
      <c r="LE2" s="124"/>
      <c r="LF2" s="124"/>
      <c r="LG2" s="124"/>
      <c r="LH2" s="124"/>
      <c r="LI2" s="124"/>
      <c r="LJ2" s="124"/>
      <c r="LK2" s="124"/>
      <c r="LL2" s="124"/>
      <c r="LM2" s="124"/>
      <c r="LN2" s="124"/>
      <c r="LO2" s="125"/>
      <c r="LP2" s="123" t="s">
        <v>95</v>
      </c>
      <c r="LQ2" s="124"/>
      <c r="LR2" s="124"/>
      <c r="LS2" s="124"/>
      <c r="LT2" s="124"/>
      <c r="LU2" s="124"/>
      <c r="LV2" s="124"/>
      <c r="LW2" s="124"/>
      <c r="LX2" s="124"/>
      <c r="LY2" s="124"/>
      <c r="LZ2" s="124"/>
      <c r="MA2" s="124"/>
      <c r="MB2" s="124"/>
      <c r="MC2" s="124"/>
      <c r="MD2" s="124"/>
      <c r="ME2" s="124"/>
      <c r="MF2" s="124"/>
      <c r="MG2" s="124"/>
      <c r="MH2" s="124"/>
      <c r="MI2" s="124"/>
      <c r="MJ2" s="124"/>
      <c r="MK2" s="124"/>
      <c r="ML2" s="124"/>
      <c r="MM2" s="124"/>
      <c r="MN2" s="124"/>
      <c r="MO2" s="124"/>
      <c r="MP2" s="124"/>
      <c r="MQ2" s="124"/>
      <c r="MR2" s="124"/>
      <c r="MS2" s="124"/>
      <c r="MT2" s="124"/>
      <c r="MU2" s="124"/>
      <c r="MV2" s="124"/>
      <c r="MW2" s="124"/>
      <c r="MX2" s="124"/>
      <c r="MY2" s="124"/>
      <c r="MZ2" s="124"/>
      <c r="NA2" s="124"/>
      <c r="NB2" s="124"/>
      <c r="NC2" s="124"/>
      <c r="ND2" s="124"/>
      <c r="NE2" s="124"/>
      <c r="NF2" s="124"/>
      <c r="NG2" s="124"/>
      <c r="NH2" s="124"/>
      <c r="NI2" s="124"/>
      <c r="NJ2" s="124"/>
      <c r="NK2" s="124"/>
      <c r="NL2" s="124"/>
      <c r="NM2" s="124"/>
      <c r="NN2" s="124"/>
      <c r="NO2" s="124"/>
      <c r="NP2" s="124"/>
      <c r="NQ2" s="124"/>
      <c r="NR2" s="124"/>
      <c r="NS2" s="124"/>
      <c r="NT2" s="124"/>
      <c r="NU2" s="124"/>
      <c r="NV2" s="124"/>
      <c r="NW2" s="124"/>
      <c r="NX2" s="124"/>
      <c r="NY2" s="124"/>
      <c r="NZ2" s="124"/>
      <c r="OA2" s="124"/>
      <c r="OB2" s="124"/>
      <c r="OC2" s="124"/>
      <c r="OD2" s="124"/>
      <c r="OE2" s="124"/>
      <c r="OF2" s="124"/>
      <c r="OG2" s="124"/>
      <c r="OH2" s="124"/>
      <c r="OI2" s="124"/>
      <c r="OJ2" s="124"/>
      <c r="OK2" s="124"/>
      <c r="OL2" s="124"/>
      <c r="OM2" s="124"/>
      <c r="ON2" s="124"/>
      <c r="OO2" s="124"/>
      <c r="OP2" s="124"/>
      <c r="OQ2" s="124"/>
      <c r="OR2" s="124"/>
      <c r="OS2" s="124"/>
      <c r="OT2" s="124"/>
      <c r="OU2" s="124"/>
      <c r="OV2" s="124"/>
      <c r="OW2" s="124"/>
      <c r="OX2" s="124"/>
      <c r="OY2" s="124"/>
      <c r="OZ2" s="124"/>
      <c r="PA2" s="124"/>
      <c r="PB2" s="124"/>
      <c r="PC2" s="124"/>
      <c r="PD2" s="124"/>
      <c r="PE2" s="124"/>
      <c r="PF2" s="124"/>
      <c r="PG2" s="124"/>
      <c r="PH2" s="124"/>
      <c r="PI2" s="124"/>
      <c r="PJ2" s="124"/>
      <c r="PK2" s="124"/>
      <c r="PL2" s="124"/>
      <c r="PM2" s="124"/>
      <c r="PN2" s="124"/>
      <c r="PO2" s="124"/>
      <c r="PP2" s="124"/>
      <c r="PQ2" s="124"/>
      <c r="PR2" s="124"/>
      <c r="PS2" s="125"/>
      <c r="PT2" s="123" t="s">
        <v>96</v>
      </c>
      <c r="PU2" s="124"/>
      <c r="PV2" s="124"/>
      <c r="PW2" s="124"/>
      <c r="PX2" s="124"/>
      <c r="PY2" s="124"/>
      <c r="PZ2" s="124"/>
      <c r="QA2" s="124"/>
      <c r="QB2" s="124"/>
      <c r="QC2" s="124"/>
      <c r="QD2" s="124"/>
      <c r="QE2" s="124"/>
      <c r="QF2" s="124"/>
      <c r="QG2" s="124"/>
      <c r="QH2" s="124"/>
      <c r="QI2" s="124"/>
      <c r="QJ2" s="124"/>
      <c r="QK2" s="124"/>
      <c r="QL2" s="124"/>
      <c r="QM2" s="124"/>
      <c r="QN2" s="124"/>
      <c r="QO2" s="124"/>
      <c r="QP2" s="124"/>
      <c r="QQ2" s="124"/>
      <c r="QR2" s="124"/>
      <c r="QS2" s="124"/>
      <c r="QT2" s="124"/>
      <c r="QU2" s="124"/>
      <c r="QV2" s="124"/>
      <c r="QW2" s="124"/>
      <c r="QX2" s="124"/>
      <c r="QY2" s="124"/>
      <c r="QZ2" s="124"/>
      <c r="RA2" s="124"/>
      <c r="RB2" s="124"/>
      <c r="RC2" s="124"/>
      <c r="RD2" s="124"/>
      <c r="RE2" s="124"/>
      <c r="RF2" s="124"/>
      <c r="RG2" s="124"/>
      <c r="RH2" s="124"/>
      <c r="RI2" s="124"/>
      <c r="RJ2" s="124"/>
      <c r="RK2" s="124"/>
      <c r="RL2" s="124"/>
      <c r="RM2" s="124"/>
      <c r="RN2" s="124"/>
      <c r="RO2" s="124"/>
      <c r="RP2" s="124"/>
      <c r="RQ2" s="124"/>
      <c r="RR2" s="124"/>
      <c r="RS2" s="124"/>
      <c r="RT2" s="124"/>
      <c r="RU2" s="124"/>
      <c r="RV2" s="124"/>
      <c r="RW2" s="124"/>
      <c r="RX2" s="124"/>
      <c r="RY2" s="124"/>
      <c r="RZ2" s="124"/>
      <c r="SA2" s="124"/>
      <c r="SB2" s="124"/>
      <c r="SC2" s="124"/>
      <c r="SD2" s="124"/>
      <c r="SE2" s="124"/>
      <c r="SF2" s="124"/>
      <c r="SG2" s="124"/>
      <c r="SH2" s="124"/>
      <c r="SI2" s="124"/>
      <c r="SJ2" s="124"/>
      <c r="SK2" s="124"/>
      <c r="SL2" s="124"/>
      <c r="SM2" s="124"/>
      <c r="SN2" s="124"/>
      <c r="SO2" s="124"/>
      <c r="SP2" s="124"/>
      <c r="SQ2" s="124"/>
      <c r="SR2" s="124"/>
      <c r="SS2" s="124"/>
      <c r="ST2" s="124"/>
      <c r="SU2" s="124"/>
      <c r="SV2" s="124"/>
      <c r="SW2" s="124"/>
      <c r="SX2" s="124"/>
      <c r="SY2" s="124"/>
      <c r="SZ2" s="124"/>
      <c r="TA2" s="124"/>
      <c r="TB2" s="124"/>
      <c r="TC2" s="124"/>
      <c r="TD2" s="124"/>
      <c r="TE2" s="124"/>
      <c r="TF2" s="124"/>
      <c r="TG2" s="124"/>
      <c r="TH2" s="124"/>
      <c r="TI2" s="124"/>
      <c r="TJ2" s="124"/>
      <c r="TK2" s="124"/>
      <c r="TL2" s="124"/>
      <c r="TM2" s="124"/>
      <c r="TN2" s="124"/>
      <c r="TO2" s="124"/>
      <c r="TP2" s="124"/>
      <c r="TQ2" s="124"/>
      <c r="TR2" s="124"/>
      <c r="TS2" s="124"/>
      <c r="TT2" s="124"/>
      <c r="TU2" s="124"/>
      <c r="TV2" s="124"/>
      <c r="TW2" s="125"/>
    </row>
    <row r="3" spans="1:543" ht="19.5" customHeight="1" x14ac:dyDescent="0.2">
      <c r="A3" s="84"/>
      <c r="B3" s="128"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29"/>
      <c r="C4" s="44">
        <v>74</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116"/>
      <c r="BM4" s="114"/>
      <c r="BN4" s="115"/>
      <c r="BO4" s="116"/>
      <c r="BP4" s="114"/>
      <c r="BQ4" s="115"/>
      <c r="BR4" s="116"/>
      <c r="BS4" s="114"/>
      <c r="BT4" s="115"/>
      <c r="BU4" s="116"/>
      <c r="BV4" s="114"/>
      <c r="BW4" s="115"/>
      <c r="BX4" s="116"/>
      <c r="BY4" s="114"/>
      <c r="BZ4" s="115"/>
      <c r="CA4" s="116"/>
      <c r="CB4" s="114"/>
      <c r="CC4" s="115"/>
      <c r="CD4" s="116"/>
      <c r="CE4" s="114"/>
      <c r="CF4" s="115"/>
      <c r="CG4" s="116"/>
      <c r="CH4" s="114"/>
      <c r="CI4" s="115"/>
      <c r="CJ4" s="116"/>
      <c r="CK4" s="114"/>
      <c r="CL4" s="115"/>
      <c r="CM4" s="116"/>
      <c r="CN4" s="114"/>
      <c r="CO4" s="115"/>
      <c r="CP4" s="116"/>
      <c r="CQ4" s="114"/>
      <c r="CR4" s="115"/>
      <c r="CS4" s="116"/>
      <c r="CT4" s="114"/>
      <c r="CU4" s="115"/>
      <c r="CV4" s="116"/>
      <c r="CW4" s="114"/>
      <c r="CX4" s="115"/>
      <c r="CY4" s="116"/>
      <c r="CZ4" s="114"/>
      <c r="DA4" s="115"/>
      <c r="DB4" s="116"/>
      <c r="DC4" s="114"/>
      <c r="DD4" s="115"/>
      <c r="DE4" s="116"/>
      <c r="DF4" s="114"/>
      <c r="DG4" s="117"/>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113"/>
      <c r="HM4" s="114"/>
      <c r="HN4" s="115"/>
      <c r="HO4" s="116"/>
      <c r="HP4" s="114"/>
      <c r="HQ4" s="115"/>
      <c r="HR4" s="116"/>
      <c r="HS4" s="114"/>
      <c r="HT4" s="115"/>
      <c r="HU4" s="116"/>
      <c r="HV4" s="114"/>
      <c r="HW4" s="115"/>
      <c r="HX4" s="116"/>
      <c r="HY4" s="114"/>
      <c r="HZ4" s="115"/>
      <c r="IA4" s="116"/>
      <c r="IB4" s="114"/>
      <c r="IC4" s="115"/>
      <c r="ID4" s="116"/>
      <c r="IE4" s="114"/>
      <c r="IF4" s="115"/>
      <c r="IG4" s="116"/>
      <c r="IH4" s="114"/>
      <c r="II4" s="115"/>
      <c r="IJ4" s="93"/>
      <c r="IK4" s="91"/>
      <c r="IL4" s="92"/>
      <c r="IM4" s="93"/>
      <c r="IN4" s="91"/>
      <c r="IO4" s="92"/>
      <c r="IP4" s="93"/>
      <c r="IQ4" s="91"/>
      <c r="IR4" s="92"/>
      <c r="IS4" s="93"/>
      <c r="IT4" s="91"/>
      <c r="IU4" s="92"/>
      <c r="IV4" s="93"/>
      <c r="IW4" s="91"/>
      <c r="IX4" s="92"/>
      <c r="IY4" s="93"/>
      <c r="IZ4" s="91"/>
      <c r="JA4" s="92"/>
      <c r="JB4" s="93"/>
      <c r="JC4" s="91"/>
      <c r="JD4" s="92"/>
      <c r="JE4" s="93"/>
      <c r="JF4" s="91"/>
      <c r="JG4" s="92"/>
      <c r="JH4" s="93"/>
      <c r="JI4" s="91"/>
      <c r="JJ4" s="92"/>
      <c r="JK4" s="93"/>
      <c r="JL4" s="91"/>
      <c r="JM4" s="92"/>
      <c r="JN4" s="116"/>
      <c r="JO4" s="114"/>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30"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27"/>
      <c r="C6" s="96">
        <v>12</v>
      </c>
      <c r="D6" s="113"/>
      <c r="E6" s="114"/>
      <c r="F6" s="115"/>
      <c r="G6" s="116"/>
      <c r="H6" s="114"/>
      <c r="I6" s="115"/>
      <c r="J6" s="116"/>
      <c r="K6" s="114"/>
      <c r="L6" s="115"/>
      <c r="M6" s="116"/>
      <c r="N6" s="114"/>
      <c r="O6" s="115"/>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30"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27"/>
      <c r="C8" s="96">
        <v>12</v>
      </c>
      <c r="D8" s="90"/>
      <c r="E8" s="91"/>
      <c r="F8" s="92"/>
      <c r="G8" s="93"/>
      <c r="H8" s="91"/>
      <c r="I8" s="92"/>
      <c r="J8" s="93"/>
      <c r="K8" s="91"/>
      <c r="L8" s="92"/>
      <c r="M8" s="93"/>
      <c r="N8" s="91"/>
      <c r="O8" s="92"/>
      <c r="P8" s="116"/>
      <c r="Q8" s="114"/>
      <c r="R8" s="115"/>
      <c r="S8" s="116"/>
      <c r="T8" s="114"/>
      <c r="U8" s="115"/>
      <c r="V8" s="116"/>
      <c r="W8" s="114"/>
      <c r="X8" s="115"/>
      <c r="Y8" s="116"/>
      <c r="Z8" s="114"/>
      <c r="AA8" s="115"/>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26"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27"/>
      <c r="C10" s="96">
        <v>15</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116"/>
      <c r="BG10" s="114"/>
      <c r="BH10" s="115"/>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114"/>
      <c r="DY10" s="115"/>
      <c r="DZ10" s="116"/>
      <c r="EA10" s="114"/>
      <c r="EB10" s="115"/>
      <c r="EC10" s="116"/>
      <c r="ED10" s="114"/>
      <c r="EE10" s="115"/>
      <c r="EF10" s="116"/>
      <c r="EG10" s="114"/>
      <c r="EH10" s="115"/>
      <c r="EI10" s="116"/>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26"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27"/>
      <c r="C12" s="96">
        <v>3</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116"/>
      <c r="AO12" s="114"/>
      <c r="AP12" s="115"/>
      <c r="AQ12" s="93"/>
      <c r="AR12" s="91"/>
      <c r="AS12" s="92"/>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26"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27"/>
      <c r="C14" s="96">
        <v>3</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116"/>
      <c r="BJ14" s="114"/>
      <c r="BK14" s="115"/>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26"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27"/>
      <c r="C16" s="96">
        <v>12</v>
      </c>
      <c r="D16" s="90"/>
      <c r="E16" s="91"/>
      <c r="F16" s="92"/>
      <c r="G16" s="93"/>
      <c r="H16" s="91"/>
      <c r="I16" s="92"/>
      <c r="J16" s="93"/>
      <c r="K16" s="91"/>
      <c r="L16" s="92"/>
      <c r="M16" s="93"/>
      <c r="N16" s="91"/>
      <c r="O16" s="92"/>
      <c r="P16" s="93"/>
      <c r="Q16" s="91"/>
      <c r="R16" s="92"/>
      <c r="S16" s="93"/>
      <c r="T16" s="91"/>
      <c r="U16" s="92"/>
      <c r="V16" s="93"/>
      <c r="W16" s="91"/>
      <c r="X16" s="92"/>
      <c r="Y16" s="93"/>
      <c r="Z16" s="91"/>
      <c r="AA16" s="92"/>
      <c r="AB16" s="116"/>
      <c r="AC16" s="114"/>
      <c r="AD16" s="115"/>
      <c r="AE16" s="116"/>
      <c r="AF16" s="114"/>
      <c r="AG16" s="115"/>
      <c r="AH16" s="116"/>
      <c r="AI16" s="114"/>
      <c r="AJ16" s="115"/>
      <c r="AK16" s="116"/>
      <c r="AL16" s="114"/>
      <c r="AM16" s="115"/>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26"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27"/>
      <c r="C18" s="96">
        <v>35</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113"/>
      <c r="DI18" s="114"/>
      <c r="DJ18" s="115"/>
      <c r="DK18" s="116"/>
      <c r="DL18" s="114"/>
      <c r="DM18" s="115"/>
      <c r="DN18" s="116"/>
      <c r="DO18" s="114"/>
      <c r="DP18" s="115"/>
      <c r="DQ18" s="116"/>
      <c r="DR18" s="114"/>
      <c r="DS18" s="115"/>
      <c r="DT18" s="116"/>
      <c r="DU18" s="114"/>
      <c r="DV18" s="115"/>
      <c r="DW18" s="116"/>
      <c r="DX18" s="91"/>
      <c r="DY18" s="92"/>
      <c r="DZ18" s="93"/>
      <c r="EA18" s="91"/>
      <c r="EB18" s="92"/>
      <c r="EC18" s="93"/>
      <c r="ED18" s="91"/>
      <c r="EE18" s="92"/>
      <c r="EF18" s="93"/>
      <c r="EG18" s="91"/>
      <c r="EH18" s="92"/>
      <c r="EI18" s="93"/>
      <c r="EJ18" s="91"/>
      <c r="EK18" s="92"/>
      <c r="EL18" s="93"/>
      <c r="EM18" s="91"/>
      <c r="EN18" s="92"/>
      <c r="EO18" s="93"/>
      <c r="EP18" s="91"/>
      <c r="EQ18" s="92"/>
      <c r="ER18" s="93"/>
      <c r="ES18" s="91"/>
      <c r="ET18" s="115"/>
      <c r="EU18" s="116"/>
      <c r="EV18" s="114"/>
      <c r="EW18" s="115"/>
      <c r="EX18" s="116"/>
      <c r="EY18" s="114"/>
      <c r="EZ18" s="115"/>
      <c r="FA18" s="116"/>
      <c r="FB18" s="114"/>
      <c r="FC18" s="115"/>
      <c r="FD18" s="116"/>
      <c r="FE18" s="114"/>
      <c r="FF18" s="115"/>
      <c r="FG18" s="116"/>
      <c r="FH18" s="114"/>
      <c r="FI18" s="115"/>
      <c r="FJ18" s="116"/>
      <c r="FK18" s="114"/>
      <c r="FL18" s="115"/>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26"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27"/>
      <c r="C20" s="96">
        <v>25</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114"/>
      <c r="FX20" s="115"/>
      <c r="FY20" s="116"/>
      <c r="FZ20" s="114"/>
      <c r="GA20" s="115"/>
      <c r="GB20" s="116"/>
      <c r="GC20" s="114"/>
      <c r="GD20" s="115"/>
      <c r="GE20" s="116"/>
      <c r="GF20" s="114"/>
      <c r="GG20" s="92"/>
      <c r="GH20" s="93"/>
      <c r="GI20" s="91"/>
      <c r="GJ20" s="115"/>
      <c r="GK20" s="116"/>
      <c r="GL20" s="114"/>
      <c r="GM20" s="115"/>
      <c r="GN20" s="116"/>
      <c r="GO20" s="114"/>
      <c r="GP20" s="115"/>
      <c r="GQ20" s="116"/>
      <c r="GR20" s="114"/>
      <c r="GS20" s="115"/>
      <c r="GT20" s="93"/>
      <c r="GU20" s="91"/>
      <c r="GV20" s="92"/>
      <c r="GW20" s="93"/>
      <c r="GX20" s="91"/>
      <c r="GY20" s="92"/>
      <c r="GZ20" s="93"/>
      <c r="HA20" s="91"/>
      <c r="HB20" s="115"/>
      <c r="HC20" s="116"/>
      <c r="HD20" s="114"/>
      <c r="HE20" s="115"/>
      <c r="HF20" s="116"/>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26"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27"/>
      <c r="C22" s="96">
        <v>6</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115"/>
      <c r="GH22" s="116"/>
      <c r="GI22" s="114"/>
      <c r="GJ22" s="92"/>
      <c r="GK22" s="93"/>
      <c r="GL22" s="91"/>
      <c r="GM22" s="92"/>
      <c r="GN22" s="93"/>
      <c r="GO22" s="91"/>
      <c r="GP22" s="92"/>
      <c r="GQ22" s="93"/>
      <c r="GR22" s="91"/>
      <c r="GS22" s="92"/>
      <c r="GT22" s="93"/>
      <c r="GU22" s="91"/>
      <c r="GV22" s="92"/>
      <c r="GW22" s="93"/>
      <c r="GX22" s="91"/>
      <c r="GY22" s="115"/>
      <c r="GZ22" s="116"/>
      <c r="HA22" s="114"/>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26"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27"/>
      <c r="C24" s="96">
        <v>2</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90"/>
      <c r="HM24" s="91"/>
      <c r="HN24" s="92"/>
      <c r="HO24" s="93"/>
      <c r="HP24" s="91"/>
      <c r="HQ24" s="92"/>
      <c r="HR24" s="93"/>
      <c r="HS24" s="91"/>
      <c r="HT24" s="92"/>
      <c r="HU24" s="93"/>
      <c r="HV24" s="91"/>
      <c r="HW24" s="92"/>
      <c r="HX24" s="93"/>
      <c r="HY24" s="91"/>
      <c r="HZ24" s="92"/>
      <c r="IA24" s="93"/>
      <c r="IB24" s="91"/>
      <c r="IC24" s="92"/>
      <c r="ID24" s="93"/>
      <c r="IE24" s="91"/>
      <c r="IF24" s="92"/>
      <c r="IG24" s="93"/>
      <c r="IH24" s="91"/>
      <c r="II24" s="92"/>
      <c r="IJ24" s="116"/>
      <c r="IK24" s="114"/>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26"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27"/>
      <c r="C26" s="96">
        <v>22</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92"/>
      <c r="HO26" s="93"/>
      <c r="HP26" s="91"/>
      <c r="HQ26" s="92"/>
      <c r="HR26" s="93"/>
      <c r="HS26" s="91"/>
      <c r="HT26" s="92"/>
      <c r="HU26" s="93"/>
      <c r="HV26" s="91"/>
      <c r="HW26" s="92"/>
      <c r="HX26" s="93"/>
      <c r="HY26" s="91"/>
      <c r="HZ26" s="92"/>
      <c r="IA26" s="93"/>
      <c r="IB26" s="91"/>
      <c r="IC26" s="92"/>
      <c r="ID26" s="93"/>
      <c r="IE26" s="91"/>
      <c r="IF26" s="92"/>
      <c r="IG26" s="93"/>
      <c r="IH26" s="91"/>
      <c r="II26" s="92"/>
      <c r="IJ26" s="93"/>
      <c r="IK26" s="91"/>
      <c r="IL26" s="115"/>
      <c r="IM26" s="116"/>
      <c r="IN26" s="114"/>
      <c r="IO26" s="115"/>
      <c r="IP26" s="116"/>
      <c r="IQ26" s="114"/>
      <c r="IR26" s="115"/>
      <c r="IS26" s="116"/>
      <c r="IT26" s="114"/>
      <c r="IU26" s="115"/>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116"/>
      <c r="MC26" s="114"/>
      <c r="MD26" s="115"/>
      <c r="ME26" s="116"/>
      <c r="MF26" s="114"/>
      <c r="MG26" s="115"/>
      <c r="MH26" s="116"/>
      <c r="MI26" s="114"/>
      <c r="MJ26" s="115"/>
      <c r="MK26" s="116"/>
      <c r="ML26" s="114"/>
      <c r="MM26" s="115"/>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26"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27"/>
      <c r="C28" s="96">
        <v>45</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91"/>
      <c r="JJ28" s="92"/>
      <c r="JK28" s="93"/>
      <c r="JL28" s="91"/>
      <c r="JM28" s="92"/>
      <c r="JN28" s="93"/>
      <c r="JO28" s="91"/>
      <c r="JP28" s="92"/>
      <c r="JQ28" s="93"/>
      <c r="JR28" s="91"/>
      <c r="JS28" s="92"/>
      <c r="JT28" s="93"/>
      <c r="JU28" s="91"/>
      <c r="JV28" s="92"/>
      <c r="JW28" s="93"/>
      <c r="JX28" s="114"/>
      <c r="JY28" s="115"/>
      <c r="JZ28" s="116"/>
      <c r="KA28" s="114"/>
      <c r="KB28" s="115"/>
      <c r="KC28" s="116"/>
      <c r="KD28" s="114"/>
      <c r="KE28" s="115"/>
      <c r="KF28" s="116"/>
      <c r="KG28" s="114"/>
      <c r="KH28" s="115"/>
      <c r="KI28" s="116"/>
      <c r="KJ28" s="114"/>
      <c r="KK28" s="115"/>
      <c r="KL28" s="116"/>
      <c r="KM28" s="114"/>
      <c r="KN28" s="115"/>
      <c r="KO28" s="116"/>
      <c r="KP28" s="114"/>
      <c r="KQ28" s="115"/>
      <c r="KR28" s="116"/>
      <c r="KS28" s="114"/>
      <c r="KT28" s="115"/>
      <c r="KU28" s="116"/>
      <c r="KV28" s="114"/>
      <c r="KW28" s="115"/>
      <c r="KX28" s="116"/>
      <c r="KY28" s="114"/>
      <c r="KZ28" s="115"/>
      <c r="LA28" s="116"/>
      <c r="LB28" s="114"/>
      <c r="LC28" s="115"/>
      <c r="LD28" s="116"/>
      <c r="LE28" s="91"/>
      <c r="LF28" s="92"/>
      <c r="LG28" s="93"/>
      <c r="LH28" s="91"/>
      <c r="LI28" s="92"/>
      <c r="LJ28" s="93"/>
      <c r="LK28" s="91"/>
      <c r="LL28" s="92"/>
      <c r="LM28" s="93"/>
      <c r="LN28" s="91"/>
      <c r="LO28" s="94"/>
      <c r="LP28" s="113"/>
      <c r="LQ28" s="114"/>
      <c r="LR28" s="115"/>
      <c r="LS28" s="116"/>
      <c r="LT28" s="114"/>
      <c r="LU28" s="115"/>
      <c r="LV28" s="116"/>
      <c r="LW28" s="114"/>
      <c r="LX28" s="115"/>
      <c r="LY28" s="116"/>
      <c r="LZ28" s="114"/>
      <c r="MA28" s="115"/>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26"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27"/>
      <c r="C30" s="96">
        <v>10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93"/>
      <c r="HY30" s="91"/>
      <c r="HZ30" s="92"/>
      <c r="IA30" s="93"/>
      <c r="IB30" s="91"/>
      <c r="IC30" s="92"/>
      <c r="ID30" s="93"/>
      <c r="IE30" s="91"/>
      <c r="IF30" s="92"/>
      <c r="IG30" s="93"/>
      <c r="IH30" s="91"/>
      <c r="II30" s="92"/>
      <c r="IJ30" s="93"/>
      <c r="IK30" s="91"/>
      <c r="IL30" s="92"/>
      <c r="IM30" s="93"/>
      <c r="IN30" s="91"/>
      <c r="IO30" s="92"/>
      <c r="IP30" s="93"/>
      <c r="IQ30" s="91"/>
      <c r="IR30" s="92"/>
      <c r="IS30" s="93"/>
      <c r="IT30" s="91"/>
      <c r="IU30" s="92"/>
      <c r="IV30" s="116"/>
      <c r="IW30" s="114"/>
      <c r="IX30" s="115"/>
      <c r="IY30" s="116"/>
      <c r="IZ30" s="114"/>
      <c r="JA30" s="115"/>
      <c r="JB30" s="116"/>
      <c r="JC30" s="114"/>
      <c r="JD30" s="115"/>
      <c r="JE30" s="116"/>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26"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27"/>
      <c r="C32" s="96">
        <v>2</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116"/>
      <c r="NG32" s="114"/>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26"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27"/>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26"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27"/>
      <c r="C36" s="96">
        <v>2</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116"/>
      <c r="MO36" s="114"/>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26"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27"/>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26"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27"/>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26"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27"/>
      <c r="C42" s="96">
        <v>4</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114"/>
      <c r="MS42" s="115"/>
      <c r="MT42" s="116"/>
      <c r="MU42" s="114"/>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26"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27"/>
      <c r="C44" s="96">
        <v>2</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115"/>
      <c r="MQ44" s="116"/>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26"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27"/>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26"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27"/>
      <c r="C48" s="96">
        <v>20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115"/>
      <c r="MW48" s="116"/>
      <c r="MX48" s="114"/>
      <c r="MY48" s="115"/>
      <c r="MZ48" s="116"/>
      <c r="NA48" s="114"/>
      <c r="NB48" s="115"/>
      <c r="NC48" s="116"/>
      <c r="ND48" s="114"/>
      <c r="NE48" s="115"/>
      <c r="NF48" s="93"/>
      <c r="NG48" s="91"/>
      <c r="NH48" s="92"/>
      <c r="NI48" s="93"/>
      <c r="NJ48" s="91"/>
      <c r="NK48" s="115"/>
      <c r="NL48" s="116"/>
      <c r="NM48" s="114"/>
      <c r="NN48" s="115"/>
      <c r="NO48" s="116"/>
      <c r="NP48" s="114"/>
      <c r="NQ48" s="115"/>
      <c r="NR48" s="116"/>
      <c r="NS48" s="114"/>
      <c r="NT48" s="115"/>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26"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27"/>
      <c r="C50" s="96">
        <v>126</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116"/>
      <c r="AR50" s="114"/>
      <c r="AS50" s="115"/>
      <c r="AT50" s="116"/>
      <c r="AU50" s="114"/>
      <c r="AV50" s="115"/>
      <c r="AW50" s="116"/>
      <c r="AX50" s="114"/>
      <c r="AY50" s="115"/>
      <c r="AZ50" s="116"/>
      <c r="BA50" s="114"/>
      <c r="BB50" s="115"/>
      <c r="BC50" s="116"/>
      <c r="BD50" s="114"/>
      <c r="BE50" s="115"/>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114"/>
      <c r="EK50" s="115"/>
      <c r="EL50" s="116"/>
      <c r="EM50" s="114"/>
      <c r="EN50" s="115"/>
      <c r="EO50" s="116"/>
      <c r="EP50" s="114"/>
      <c r="EQ50" s="115"/>
      <c r="ER50" s="116"/>
      <c r="ES50" s="114"/>
      <c r="ET50" s="92"/>
      <c r="EU50" s="93"/>
      <c r="EV50" s="91"/>
      <c r="EW50" s="92"/>
      <c r="EX50" s="93"/>
      <c r="EY50" s="91"/>
      <c r="EZ50" s="92"/>
      <c r="FA50" s="93"/>
      <c r="FB50" s="91"/>
      <c r="FC50" s="92"/>
      <c r="FD50" s="93"/>
      <c r="FE50" s="91"/>
      <c r="FF50" s="92"/>
      <c r="FG50" s="93"/>
      <c r="FH50" s="91"/>
      <c r="FI50" s="92"/>
      <c r="FJ50" s="93"/>
      <c r="FK50" s="91"/>
      <c r="FL50" s="92"/>
      <c r="FM50" s="116"/>
      <c r="FN50" s="114"/>
      <c r="FO50" s="115"/>
      <c r="FP50" s="116"/>
      <c r="FQ50" s="114"/>
      <c r="FR50" s="115"/>
      <c r="FS50" s="116"/>
      <c r="FT50" s="114"/>
      <c r="FU50" s="115"/>
      <c r="FV50" s="116"/>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116"/>
      <c r="GU50" s="114"/>
      <c r="GV50" s="115"/>
      <c r="GW50" s="116"/>
      <c r="GX50" s="114"/>
      <c r="GY50" s="92"/>
      <c r="GZ50" s="93"/>
      <c r="HA50" s="91"/>
      <c r="HB50" s="92"/>
      <c r="HC50" s="93"/>
      <c r="HD50" s="91"/>
      <c r="HE50" s="92"/>
      <c r="HF50" s="93"/>
      <c r="HG50" s="114"/>
      <c r="HH50" s="115"/>
      <c r="HI50" s="116"/>
      <c r="HJ50" s="114"/>
      <c r="HK50" s="117"/>
      <c r="HL50" s="90"/>
      <c r="HM50" s="91"/>
      <c r="HN50" s="92"/>
      <c r="HO50" s="93"/>
      <c r="HP50" s="91"/>
      <c r="HQ50" s="92"/>
      <c r="HR50" s="93"/>
      <c r="HS50" s="91"/>
      <c r="HT50" s="92"/>
      <c r="HU50" s="93"/>
      <c r="HV50" s="91"/>
      <c r="HW50" s="92"/>
      <c r="HX50" s="93"/>
      <c r="HY50" s="91"/>
      <c r="HZ50" s="92"/>
      <c r="IA50" s="93"/>
      <c r="IB50" s="91"/>
      <c r="IC50" s="92"/>
      <c r="ID50" s="93"/>
      <c r="IE50" s="91"/>
      <c r="IF50" s="92"/>
      <c r="IG50" s="93"/>
      <c r="IH50" s="91"/>
      <c r="II50" s="92"/>
      <c r="IJ50" s="93"/>
      <c r="IK50" s="91"/>
      <c r="IL50" s="92"/>
      <c r="IM50" s="93"/>
      <c r="IN50" s="91"/>
      <c r="IO50" s="92"/>
      <c r="IP50" s="93"/>
      <c r="IQ50" s="91"/>
      <c r="IR50" s="92"/>
      <c r="IS50" s="93"/>
      <c r="IT50" s="91"/>
      <c r="IU50" s="92"/>
      <c r="IV50" s="93"/>
      <c r="IW50" s="91"/>
      <c r="IX50" s="92"/>
      <c r="IY50" s="93"/>
      <c r="IZ50" s="91"/>
      <c r="JA50" s="92"/>
      <c r="JB50" s="93"/>
      <c r="JC50" s="91"/>
      <c r="JD50" s="92"/>
      <c r="JE50" s="93"/>
      <c r="JF50" s="114"/>
      <c r="JG50" s="115"/>
      <c r="JH50" s="116"/>
      <c r="JI50" s="114"/>
      <c r="JJ50" s="115"/>
      <c r="JK50" s="116"/>
      <c r="JL50" s="114"/>
      <c r="JM50" s="115"/>
      <c r="JN50" s="93"/>
      <c r="JO50" s="91"/>
      <c r="JP50" s="115"/>
      <c r="JQ50" s="116"/>
      <c r="JR50" s="114"/>
      <c r="JS50" s="115"/>
      <c r="JT50" s="116"/>
      <c r="JU50" s="114"/>
      <c r="JV50" s="115"/>
      <c r="JW50" s="116"/>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114"/>
      <c r="LF50" s="115"/>
      <c r="LG50" s="116"/>
      <c r="LH50" s="114"/>
      <c r="LI50" s="115"/>
      <c r="LJ50" s="116"/>
      <c r="LK50" s="114"/>
      <c r="LL50" s="115"/>
      <c r="LM50" s="116"/>
      <c r="LN50" s="114"/>
      <c r="LO50" s="117"/>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115"/>
      <c r="NI50" s="116"/>
      <c r="NJ50" s="114"/>
      <c r="NK50" s="92"/>
      <c r="NL50" s="93"/>
      <c r="NM50" s="91"/>
      <c r="NN50" s="92"/>
      <c r="NO50" s="93"/>
      <c r="NP50" s="91"/>
      <c r="NQ50" s="92"/>
      <c r="NR50" s="93"/>
      <c r="NS50" s="91"/>
      <c r="NT50" s="92"/>
      <c r="NU50" s="116"/>
      <c r="NV50" s="114"/>
      <c r="NW50" s="115"/>
      <c r="NX50" s="116"/>
      <c r="NY50" s="114"/>
      <c r="NZ50" s="115"/>
      <c r="OA50" s="116"/>
      <c r="OB50" s="114"/>
      <c r="OC50" s="115"/>
      <c r="OD50" s="116"/>
      <c r="OE50" s="114"/>
      <c r="OF50" s="115"/>
      <c r="OG50" s="116"/>
      <c r="OH50" s="114"/>
      <c r="OI50" s="115"/>
      <c r="OJ50" s="116"/>
      <c r="OK50" s="114"/>
      <c r="OL50" s="115"/>
      <c r="OM50" s="116"/>
      <c r="ON50" s="114"/>
      <c r="OO50" s="115"/>
      <c r="OP50" s="116"/>
      <c r="OQ50" s="114"/>
      <c r="OR50" s="115"/>
      <c r="OS50" s="116"/>
      <c r="OT50" s="114"/>
      <c r="OU50" s="115"/>
      <c r="OV50" s="116"/>
      <c r="OW50" s="114"/>
      <c r="OX50" s="115"/>
      <c r="OY50" s="116"/>
      <c r="OZ50" s="114"/>
      <c r="PA50" s="115"/>
      <c r="PB50" s="116"/>
      <c r="PC50" s="114"/>
      <c r="PD50" s="115"/>
      <c r="PE50" s="116"/>
      <c r="PF50" s="114"/>
      <c r="PG50" s="115"/>
      <c r="PH50" s="116"/>
      <c r="PI50" s="114"/>
      <c r="PJ50" s="115"/>
      <c r="PK50" s="116"/>
      <c r="PL50" s="114"/>
      <c r="PM50" s="115"/>
      <c r="PN50" s="116"/>
      <c r="PO50" s="114"/>
      <c r="PP50" s="115"/>
      <c r="PQ50" s="116"/>
      <c r="PR50" s="114"/>
      <c r="PS50" s="117"/>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26"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27"/>
      <c r="C52" s="96">
        <v>24</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113"/>
      <c r="PU52" s="114"/>
      <c r="PV52" s="115"/>
      <c r="PW52" s="116"/>
      <c r="PX52" s="114"/>
      <c r="PY52" s="115"/>
      <c r="PZ52" s="116"/>
      <c r="QA52" s="114"/>
      <c r="QB52" s="115"/>
      <c r="QC52" s="116"/>
      <c r="QD52" s="114"/>
      <c r="QE52" s="115"/>
      <c r="QF52" s="116"/>
      <c r="QG52" s="114"/>
      <c r="QH52" s="115"/>
      <c r="QI52" s="116"/>
      <c r="QJ52" s="114"/>
      <c r="QK52" s="115"/>
      <c r="QL52" s="116"/>
      <c r="QM52" s="114"/>
      <c r="QN52" s="115"/>
      <c r="QO52" s="116"/>
      <c r="QP52" s="114"/>
      <c r="QQ52" s="115"/>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26"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27"/>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456</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B13:B14"/>
    <mergeCell ref="B3:B4"/>
    <mergeCell ref="B5:B6"/>
    <mergeCell ref="B7:B8"/>
    <mergeCell ref="B9:B10"/>
    <mergeCell ref="B11:B12"/>
    <mergeCell ref="B33:B34"/>
    <mergeCell ref="B35:B36"/>
    <mergeCell ref="B37:B38"/>
    <mergeCell ref="B15:B16"/>
    <mergeCell ref="B17:B18"/>
    <mergeCell ref="B19:B20"/>
    <mergeCell ref="B21:B22"/>
    <mergeCell ref="B23:B24"/>
    <mergeCell ref="B25:B26"/>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8" t="s">
        <v>21</v>
      </c>
      <c r="C3" s="30">
        <v>0</v>
      </c>
    </row>
    <row r="4" spans="1:4" ht="19.5" customHeight="1" x14ac:dyDescent="0.2">
      <c r="A4" s="34"/>
      <c r="B4" s="131"/>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4" zoomScale="110" zoomScaleNormal="100" zoomScaleSheetLayoutView="110" workbookViewId="0">
      <selection activeCell="A49" sqref="A49"/>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5"/>
  <sheetViews>
    <sheetView zoomScaleNormal="100" zoomScaleSheetLayoutView="90" workbookViewId="0">
      <selection activeCell="C69" sqref="C69"/>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3</v>
      </c>
      <c r="C6" s="14" t="s">
        <v>98</v>
      </c>
      <c r="D6" s="14"/>
    </row>
    <row r="7" spans="1:4" s="80" customFormat="1" ht="40.5" x14ac:dyDescent="0.2">
      <c r="A7" s="5" t="s">
        <v>29</v>
      </c>
      <c r="B7" s="6">
        <v>15</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67.5" x14ac:dyDescent="0.2">
      <c r="A23" s="5" t="s">
        <v>47</v>
      </c>
      <c r="B23" s="6">
        <v>8</v>
      </c>
      <c r="C23" s="14" t="s">
        <v>114</v>
      </c>
      <c r="D23" s="14"/>
    </row>
    <row r="24" spans="1:9" ht="13.5" x14ac:dyDescent="0.25">
      <c r="A24" s="5" t="s">
        <v>47</v>
      </c>
      <c r="B24" s="6">
        <v>4</v>
      </c>
      <c r="C24" s="112" t="s">
        <v>104</v>
      </c>
      <c r="D24" s="14"/>
      <c r="E24" s="37"/>
      <c r="F24" s="37"/>
      <c r="G24" s="37"/>
      <c r="H24" s="37"/>
      <c r="I24" s="37"/>
    </row>
    <row r="25" spans="1:9" ht="27" x14ac:dyDescent="0.2">
      <c r="A25" s="5" t="s">
        <v>29</v>
      </c>
      <c r="B25" s="6">
        <v>10</v>
      </c>
      <c r="C25" s="14" t="s">
        <v>103</v>
      </c>
      <c r="D25" s="14"/>
      <c r="E25" s="37"/>
      <c r="F25" s="54"/>
      <c r="G25" s="55"/>
      <c r="H25" s="56"/>
      <c r="I25" s="37"/>
    </row>
    <row r="26" spans="1:9" ht="40.5" x14ac:dyDescent="0.2">
      <c r="A26" s="5" t="s">
        <v>34</v>
      </c>
      <c r="B26" s="6">
        <v>10</v>
      </c>
      <c r="C26" s="14" t="s">
        <v>105</v>
      </c>
      <c r="D26" s="14"/>
      <c r="E26" s="37"/>
      <c r="F26" s="57"/>
      <c r="G26" s="53"/>
      <c r="H26" s="53"/>
      <c r="I26" s="37"/>
    </row>
    <row r="27" spans="1:9" ht="40.5" x14ac:dyDescent="0.2">
      <c r="A27" s="5" t="s">
        <v>34</v>
      </c>
      <c r="B27" s="6">
        <v>9</v>
      </c>
      <c r="C27" s="14" t="s">
        <v>113</v>
      </c>
      <c r="D27" s="14"/>
      <c r="E27" s="37"/>
      <c r="F27" s="59"/>
      <c r="G27" s="60"/>
      <c r="H27" s="60"/>
      <c r="I27" s="37"/>
    </row>
    <row r="28" spans="1:9" ht="27" x14ac:dyDescent="0.2">
      <c r="A28" s="5" t="s">
        <v>29</v>
      </c>
      <c r="B28" s="6">
        <v>10</v>
      </c>
      <c r="C28" s="14" t="s">
        <v>106</v>
      </c>
      <c r="D28" s="14"/>
      <c r="E28" s="37"/>
      <c r="F28" s="59"/>
      <c r="G28" s="60"/>
      <c r="H28" s="60"/>
      <c r="I28" s="37"/>
    </row>
    <row r="29" spans="1:9" ht="40.5" x14ac:dyDescent="0.2">
      <c r="A29" s="5" t="s">
        <v>45</v>
      </c>
      <c r="B29" s="6">
        <v>10</v>
      </c>
      <c r="C29" s="14" t="s">
        <v>107</v>
      </c>
      <c r="D29" s="14"/>
      <c r="E29" s="37"/>
      <c r="F29" s="59"/>
      <c r="G29" s="60"/>
      <c r="H29" s="60"/>
      <c r="I29" s="37"/>
    </row>
    <row r="30" spans="1:9" ht="27" x14ac:dyDescent="0.2">
      <c r="A30" s="5" t="s">
        <v>35</v>
      </c>
      <c r="B30" s="6">
        <v>3</v>
      </c>
      <c r="C30" s="14" t="s">
        <v>108</v>
      </c>
      <c r="D30" s="14"/>
      <c r="E30" s="37"/>
      <c r="F30" s="59"/>
      <c r="G30" s="60"/>
      <c r="H30" s="60"/>
      <c r="I30" s="37"/>
    </row>
    <row r="31" spans="1:9" ht="40.5" x14ac:dyDescent="0.2">
      <c r="A31" s="6" t="s">
        <v>45</v>
      </c>
      <c r="B31" s="6">
        <v>10</v>
      </c>
      <c r="C31" s="14" t="s">
        <v>109</v>
      </c>
      <c r="D31" s="14"/>
      <c r="E31" s="37"/>
      <c r="F31" s="59"/>
      <c r="G31" s="60"/>
      <c r="H31" s="60"/>
      <c r="I31" s="37"/>
    </row>
    <row r="32" spans="1:9" ht="27" x14ac:dyDescent="0.2">
      <c r="A32" s="6" t="s">
        <v>29</v>
      </c>
      <c r="B32" s="6">
        <v>5</v>
      </c>
      <c r="C32" s="14" t="s">
        <v>110</v>
      </c>
      <c r="D32" s="14"/>
      <c r="E32" s="37"/>
      <c r="F32" s="59"/>
      <c r="G32" s="60"/>
      <c r="H32" s="60"/>
      <c r="I32" s="37"/>
    </row>
    <row r="33" spans="1:9" ht="27" x14ac:dyDescent="0.2">
      <c r="A33" s="6" t="s">
        <v>35</v>
      </c>
      <c r="B33" s="6">
        <v>3</v>
      </c>
      <c r="C33" s="14" t="s">
        <v>108</v>
      </c>
      <c r="D33" s="14"/>
      <c r="E33" s="37"/>
      <c r="F33" s="59"/>
      <c r="G33" s="60"/>
      <c r="H33" s="60"/>
      <c r="I33" s="37"/>
    </row>
    <row r="34" spans="1:9" ht="40.5" x14ac:dyDescent="0.2">
      <c r="A34" s="78" t="s">
        <v>45</v>
      </c>
      <c r="B34" s="78">
        <v>5</v>
      </c>
      <c r="C34" s="79" t="s">
        <v>112</v>
      </c>
      <c r="D34" s="79"/>
      <c r="E34" s="37"/>
      <c r="F34" s="59"/>
      <c r="G34" s="60"/>
      <c r="H34" s="60"/>
      <c r="I34" s="37"/>
    </row>
    <row r="35" spans="1:9" ht="27" x14ac:dyDescent="0.2">
      <c r="A35" s="78" t="s">
        <v>29</v>
      </c>
      <c r="B35" s="78">
        <v>5</v>
      </c>
      <c r="C35" s="79" t="s">
        <v>111</v>
      </c>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108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14.25" thickBot="1" x14ac:dyDescent="0.25">
      <c r="A41" s="9" t="s">
        <v>21</v>
      </c>
      <c r="B41" s="8">
        <v>24</v>
      </c>
      <c r="C41" s="13" t="s">
        <v>127</v>
      </c>
      <c r="D41" s="13"/>
    </row>
    <row r="42" spans="1:9" ht="27" x14ac:dyDescent="0.2">
      <c r="A42" s="9" t="s">
        <v>41</v>
      </c>
      <c r="B42" s="8">
        <v>2</v>
      </c>
      <c r="C42" s="13" t="s">
        <v>116</v>
      </c>
      <c r="D42" s="14"/>
    </row>
    <row r="43" spans="1:9" ht="40.5" x14ac:dyDescent="0.2">
      <c r="A43" s="5" t="s">
        <v>36</v>
      </c>
      <c r="B43" s="6">
        <v>10</v>
      </c>
      <c r="C43" s="14" t="s">
        <v>130</v>
      </c>
      <c r="D43" s="14"/>
    </row>
    <row r="44" spans="1:9" ht="27" x14ac:dyDescent="0.2">
      <c r="A44" s="5" t="s">
        <v>44</v>
      </c>
      <c r="B44" s="6">
        <v>10</v>
      </c>
      <c r="C44" s="14" t="s">
        <v>129</v>
      </c>
      <c r="D44" s="14"/>
    </row>
    <row r="45" spans="1:9" ht="27" x14ac:dyDescent="0.2">
      <c r="A45" s="5" t="s">
        <v>29</v>
      </c>
      <c r="B45" s="6">
        <v>8</v>
      </c>
      <c r="C45" s="14" t="s">
        <v>128</v>
      </c>
      <c r="D45" s="14"/>
    </row>
    <row r="46" spans="1:9" ht="13.5" x14ac:dyDescent="0.2">
      <c r="A46" s="5" t="s">
        <v>21</v>
      </c>
      <c r="B46" s="6">
        <v>2</v>
      </c>
      <c r="C46" s="14" t="s">
        <v>115</v>
      </c>
      <c r="D46" s="14"/>
    </row>
    <row r="47" spans="1:9" ht="27" x14ac:dyDescent="0.2">
      <c r="A47" s="5" t="s">
        <v>29</v>
      </c>
      <c r="B47" s="6">
        <v>8</v>
      </c>
      <c r="C47" s="14" t="s">
        <v>119</v>
      </c>
      <c r="D47" s="14"/>
    </row>
    <row r="48" spans="1:9" ht="67.5" x14ac:dyDescent="0.2">
      <c r="A48" s="5" t="s">
        <v>37</v>
      </c>
      <c r="B48" s="6">
        <v>33</v>
      </c>
      <c r="C48" s="14" t="s">
        <v>117</v>
      </c>
      <c r="D48" s="14"/>
    </row>
    <row r="49" spans="1:4" ht="27" x14ac:dyDescent="0.2">
      <c r="A49" s="5" t="s">
        <v>29</v>
      </c>
      <c r="B49" s="6">
        <v>11</v>
      </c>
      <c r="C49" s="14" t="s">
        <v>118</v>
      </c>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108</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40.5" x14ac:dyDescent="0.2">
      <c r="A60" s="9" t="s">
        <v>37</v>
      </c>
      <c r="B60" s="8">
        <v>12</v>
      </c>
      <c r="C60" s="13" t="s">
        <v>132</v>
      </c>
      <c r="D60" s="13"/>
    </row>
    <row r="61" spans="1:4" ht="40.5" x14ac:dyDescent="0.2">
      <c r="A61" s="5" t="s">
        <v>36</v>
      </c>
      <c r="B61" s="6">
        <v>12</v>
      </c>
      <c r="C61" s="14" t="s">
        <v>131</v>
      </c>
      <c r="D61" s="14"/>
    </row>
    <row r="62" spans="1:4" ht="54" x14ac:dyDescent="0.2">
      <c r="A62" s="5" t="s">
        <v>38</v>
      </c>
      <c r="B62" s="6">
        <v>2</v>
      </c>
      <c r="C62" s="14" t="s">
        <v>125</v>
      </c>
      <c r="D62" s="14"/>
    </row>
    <row r="63" spans="1:4" ht="40.5" x14ac:dyDescent="0.2">
      <c r="A63" s="5" t="s">
        <v>61</v>
      </c>
      <c r="B63" s="6">
        <v>2</v>
      </c>
      <c r="C63" s="14" t="s">
        <v>123</v>
      </c>
      <c r="D63" s="14"/>
    </row>
    <row r="64" spans="1:4" ht="27" x14ac:dyDescent="0.2">
      <c r="A64" s="5" t="s">
        <v>59</v>
      </c>
      <c r="B64" s="6">
        <v>4</v>
      </c>
      <c r="C64" s="14" t="s">
        <v>121</v>
      </c>
      <c r="D64" s="14"/>
    </row>
    <row r="65" spans="1:4" ht="54" x14ac:dyDescent="0.2">
      <c r="A65" s="5" t="s">
        <v>63</v>
      </c>
      <c r="B65" s="6">
        <v>10</v>
      </c>
      <c r="C65" s="14" t="s">
        <v>122</v>
      </c>
      <c r="D65" s="14"/>
    </row>
    <row r="66" spans="1:4" ht="40.5" x14ac:dyDescent="0.2">
      <c r="A66" s="5" t="s">
        <v>43</v>
      </c>
      <c r="B66" s="6">
        <v>2</v>
      </c>
      <c r="C66" s="14" t="s">
        <v>134</v>
      </c>
      <c r="D66" s="14"/>
    </row>
    <row r="67" spans="1:4" ht="27" x14ac:dyDescent="0.2">
      <c r="A67" s="5" t="s">
        <v>29</v>
      </c>
      <c r="B67" s="6">
        <v>3</v>
      </c>
      <c r="C67" s="14" t="s">
        <v>120</v>
      </c>
      <c r="D67" s="14"/>
    </row>
    <row r="68" spans="1:4" ht="54" x14ac:dyDescent="0.2">
      <c r="A68" s="5" t="s">
        <v>63</v>
      </c>
      <c r="B68" s="6">
        <v>10</v>
      </c>
      <c r="C68" s="14" t="s">
        <v>124</v>
      </c>
      <c r="D68" s="14"/>
    </row>
    <row r="69" spans="1:4" ht="94.5" x14ac:dyDescent="0.2">
      <c r="A69" s="6" t="s">
        <v>29</v>
      </c>
      <c r="B69" s="6">
        <v>51</v>
      </c>
      <c r="C69" s="14" t="s">
        <v>133</v>
      </c>
      <c r="D69" s="14"/>
    </row>
    <row r="70" spans="1:4" ht="13.5" x14ac:dyDescent="0.2">
      <c r="A70" s="6"/>
      <c r="B70" s="6"/>
      <c r="C70" s="14"/>
      <c r="D70" s="14"/>
    </row>
    <row r="71" spans="1:4" ht="13.5" x14ac:dyDescent="0.2">
      <c r="A71" s="78"/>
      <c r="B71" s="78"/>
      <c r="C71" s="79"/>
      <c r="D71" s="79"/>
    </row>
    <row r="72" spans="1:4" ht="13.5" x14ac:dyDescent="0.2">
      <c r="A72" s="78"/>
      <c r="B72" s="78"/>
      <c r="C72" s="79"/>
      <c r="D72" s="79"/>
    </row>
    <row r="73" spans="1:4" ht="14.25" thickBot="1" x14ac:dyDescent="0.25">
      <c r="A73" s="7"/>
      <c r="B73" s="7"/>
      <c r="C73" s="15"/>
      <c r="D73" s="15"/>
    </row>
    <row r="74" spans="1:4" ht="14.25" thickBot="1" x14ac:dyDescent="0.25">
      <c r="A74" s="75" t="s">
        <v>22</v>
      </c>
      <c r="B74" s="75">
        <f>SUM(B60:B73)</f>
        <v>108</v>
      </c>
      <c r="C74" s="106" t="s">
        <v>30</v>
      </c>
      <c r="D74" s="76"/>
    </row>
    <row r="75" spans="1:4" ht="15" thickBot="1" x14ac:dyDescent="0.35">
      <c r="A75" s="77"/>
      <c r="B75" s="77"/>
      <c r="C75" s="77"/>
      <c r="D75" s="77"/>
    </row>
    <row r="76" spans="1:4" ht="18.75" thickBot="1" x14ac:dyDescent="0.25">
      <c r="A76" s="70" t="s">
        <v>14</v>
      </c>
      <c r="B76" s="71">
        <v>5</v>
      </c>
      <c r="C76" s="72" t="s">
        <v>23</v>
      </c>
      <c r="D76" s="81">
        <v>42163</v>
      </c>
    </row>
    <row r="77" spans="1:4" ht="27.75" thickBot="1" x14ac:dyDescent="0.25">
      <c r="A77" s="73" t="s">
        <v>3</v>
      </c>
      <c r="B77" s="74" t="s">
        <v>15</v>
      </c>
      <c r="C77" s="73" t="s">
        <v>7</v>
      </c>
      <c r="D77" s="73" t="s">
        <v>13</v>
      </c>
    </row>
    <row r="78" spans="1:4" ht="108" x14ac:dyDescent="0.2">
      <c r="A78" s="9" t="s">
        <v>46</v>
      </c>
      <c r="B78" s="8">
        <v>24</v>
      </c>
      <c r="C78" s="13" t="s">
        <v>126</v>
      </c>
      <c r="D78" s="13"/>
    </row>
    <row r="79" spans="1:4" ht="13.5" x14ac:dyDescent="0.2">
      <c r="A79" s="5"/>
      <c r="B79" s="6"/>
      <c r="C79" s="14"/>
      <c r="D79" s="14"/>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6"/>
      <c r="B87" s="6"/>
      <c r="C87" s="14"/>
      <c r="D87" s="14"/>
    </row>
    <row r="88" spans="1:4" ht="13.5" x14ac:dyDescent="0.2">
      <c r="A88" s="6"/>
      <c r="B88" s="6"/>
      <c r="C88" s="14"/>
      <c r="D88" s="14"/>
    </row>
    <row r="89" spans="1:4" ht="13.5" x14ac:dyDescent="0.2">
      <c r="A89" s="6"/>
      <c r="B89" s="6"/>
      <c r="C89" s="14"/>
      <c r="D89" s="14"/>
    </row>
    <row r="90" spans="1:4" ht="13.5" x14ac:dyDescent="0.2">
      <c r="A90" s="78"/>
      <c r="B90" s="78"/>
      <c r="C90" s="79"/>
      <c r="D90" s="79"/>
    </row>
    <row r="91" spans="1:4" ht="13.5" x14ac:dyDescent="0.2">
      <c r="A91" s="78"/>
      <c r="B91" s="78"/>
      <c r="C91" s="79"/>
      <c r="D91" s="79"/>
    </row>
    <row r="92" spans="1:4" ht="14.25" thickBot="1" x14ac:dyDescent="0.25">
      <c r="A92" s="7"/>
      <c r="B92" s="7"/>
      <c r="C92" s="15"/>
      <c r="D92" s="15"/>
    </row>
    <row r="93" spans="1:4" ht="14.25" thickBot="1" x14ac:dyDescent="0.25">
      <c r="A93" s="75" t="s">
        <v>22</v>
      </c>
      <c r="B93" s="75">
        <f>SUM(B78:B92)</f>
        <v>24</v>
      </c>
      <c r="C93" s="106" t="s">
        <v>30</v>
      </c>
      <c r="D93" s="76"/>
    </row>
    <row r="94" spans="1:4" ht="14.25" x14ac:dyDescent="0.3">
      <c r="A94" s="77"/>
      <c r="B94" s="77"/>
      <c r="C94" s="77"/>
      <c r="D94" s="77"/>
    </row>
    <row r="95" spans="1:4" x14ac:dyDescent="0.2">
      <c r="A95"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8:B92 B22:B36 B3:B17 B41:B55 B60:B7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4 B93">
      <formula1>0</formula1>
      <formula2>NbPerWeek * NbQuartPer</formula2>
    </dataValidation>
    <dataValidation type="list" allowBlank="1" showInputMessage="1" showErrorMessage="1" sqref="A78:A92 A22:A36 A3:A17 A41:A55 A60:A73">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56"/>
  <sheetViews>
    <sheetView tabSelected="1" topLeftCell="A28" zoomScale="115" zoomScaleNormal="115" workbookViewId="0">
      <selection activeCell="B53" sqref="B53:B54"/>
    </sheetView>
  </sheetViews>
  <sheetFormatPr defaultRowHeight="12.75" x14ac:dyDescent="0.2"/>
  <cols>
    <col min="2" max="2" width="56.140625" bestFit="1" customWidth="1"/>
  </cols>
  <sheetData>
    <row r="2" spans="2:3" ht="13.5" thickBot="1" x14ac:dyDescent="0.25"/>
    <row r="3" spans="2:3" ht="18" x14ac:dyDescent="0.2">
      <c r="B3" s="128" t="s">
        <v>21</v>
      </c>
      <c r="C3" s="30">
        <v>72</v>
      </c>
    </row>
    <row r="4" spans="2:3" ht="18" x14ac:dyDescent="0.2">
      <c r="B4" s="129"/>
      <c r="C4" s="44">
        <v>74</v>
      </c>
    </row>
    <row r="5" spans="2:3" ht="18" x14ac:dyDescent="0.2">
      <c r="B5" s="120" t="str">
        <f>Donnees!$C$21</f>
        <v>Planification Initiale</v>
      </c>
      <c r="C5" s="95">
        <v>12</v>
      </c>
    </row>
    <row r="6" spans="2:3" ht="18" x14ac:dyDescent="0.2">
      <c r="B6" s="119"/>
      <c r="C6" s="96">
        <v>12</v>
      </c>
    </row>
    <row r="7" spans="2:3" ht="18" x14ac:dyDescent="0.2">
      <c r="B7" s="120" t="str">
        <f>Donnees!$C$22</f>
        <v>Planification Détaillée</v>
      </c>
      <c r="C7" s="95">
        <v>12</v>
      </c>
    </row>
    <row r="8" spans="2:3" ht="18" x14ac:dyDescent="0.2">
      <c r="B8" s="119"/>
      <c r="C8" s="96">
        <v>12</v>
      </c>
    </row>
    <row r="9" spans="2:3" ht="18" x14ac:dyDescent="0.2">
      <c r="B9" s="118" t="str">
        <f>Donnees!$C$23</f>
        <v>Analyse des difficultés</v>
      </c>
      <c r="C9" s="95">
        <v>10</v>
      </c>
    </row>
    <row r="10" spans="2:3" ht="18" x14ac:dyDescent="0.2">
      <c r="B10" s="119"/>
      <c r="C10" s="96">
        <v>15</v>
      </c>
    </row>
    <row r="11" spans="2:3" ht="18" x14ac:dyDescent="0.2">
      <c r="B11" s="118" t="str">
        <f>Donnees!$C$24</f>
        <v>Analyse des besoins matériels</v>
      </c>
      <c r="C11" s="95">
        <v>6</v>
      </c>
    </row>
    <row r="12" spans="2:3" ht="18" x14ac:dyDescent="0.2">
      <c r="B12" s="119"/>
      <c r="C12" s="96">
        <v>3</v>
      </c>
    </row>
    <row r="13" spans="2:3" ht="18" x14ac:dyDescent="0.2">
      <c r="B13" s="118" t="str">
        <f>Donnees!$C$25</f>
        <v>Analyse des besoins utilisateurs</v>
      </c>
      <c r="C13" s="95">
        <v>5</v>
      </c>
    </row>
    <row r="14" spans="2:3" ht="18" x14ac:dyDescent="0.2">
      <c r="B14" s="119"/>
      <c r="C14" s="96">
        <v>3</v>
      </c>
    </row>
    <row r="15" spans="2:3" ht="18" x14ac:dyDescent="0.2">
      <c r="B15" s="118" t="str">
        <f>Donnees!$C$26</f>
        <v>Documentation</v>
      </c>
      <c r="C15" s="95">
        <v>21</v>
      </c>
    </row>
    <row r="16" spans="2:3" ht="18" x14ac:dyDescent="0.2">
      <c r="B16" s="119"/>
      <c r="C16" s="96">
        <v>12</v>
      </c>
    </row>
    <row r="17" spans="2:3" ht="18" x14ac:dyDescent="0.2">
      <c r="B17" s="118" t="str">
        <f>Donnees!$C$27</f>
        <v>Maquette UI (User Interface)</v>
      </c>
      <c r="C17" s="95">
        <v>20</v>
      </c>
    </row>
    <row r="18" spans="2:3" ht="18" x14ac:dyDescent="0.2">
      <c r="B18" s="119"/>
      <c r="C18" s="96">
        <v>35</v>
      </c>
    </row>
    <row r="19" spans="2:3" ht="18" x14ac:dyDescent="0.2">
      <c r="B19" s="118" t="str">
        <f>Donnees!$C$28</f>
        <v>Design des interfaces dans AS (Androdi Studio)</v>
      </c>
      <c r="C19" s="95">
        <v>30</v>
      </c>
    </row>
    <row r="20" spans="2:3" ht="18" x14ac:dyDescent="0.2">
      <c r="B20" s="119"/>
      <c r="C20" s="96">
        <v>25</v>
      </c>
    </row>
    <row r="21" spans="2:3" ht="18" x14ac:dyDescent="0.2">
      <c r="B21" s="118" t="str">
        <f>Donnees!$C$29</f>
        <v>Impl. des éléments de l'UI</v>
      </c>
      <c r="C21" s="95">
        <v>6</v>
      </c>
    </row>
    <row r="22" spans="2:3" ht="18" x14ac:dyDescent="0.2">
      <c r="B22" s="119"/>
      <c r="C22" s="96">
        <v>6</v>
      </c>
    </row>
    <row r="23" spans="2:3" ht="18" x14ac:dyDescent="0.2">
      <c r="B23" s="118" t="str">
        <f>Donnees!$C$30</f>
        <v>Impl. de la base de données</v>
      </c>
      <c r="C23" s="95">
        <v>12</v>
      </c>
    </row>
    <row r="24" spans="2:3" ht="18" x14ac:dyDescent="0.2">
      <c r="B24" s="119"/>
      <c r="C24" s="96">
        <v>2</v>
      </c>
    </row>
    <row r="25" spans="2:3" ht="18" x14ac:dyDescent="0.2">
      <c r="B25" s="118" t="str">
        <f>Donnees!$C$31</f>
        <v>Impl. des méthodes d'ajout, suppression, modification</v>
      </c>
      <c r="C25" s="95">
        <v>13</v>
      </c>
    </row>
    <row r="26" spans="2:3" ht="18" x14ac:dyDescent="0.2">
      <c r="B26" s="119"/>
      <c r="C26" s="96">
        <v>22</v>
      </c>
    </row>
    <row r="27" spans="2:3" ht="18" x14ac:dyDescent="0.2">
      <c r="B27" s="118" t="str">
        <f>Donnees!$C$32</f>
        <v>Impl. des timers pour l'entraînement</v>
      </c>
      <c r="C27" s="95">
        <v>15</v>
      </c>
    </row>
    <row r="28" spans="2:3" ht="18" x14ac:dyDescent="0.2">
      <c r="B28" s="119"/>
      <c r="C28" s="96">
        <v>45</v>
      </c>
    </row>
    <row r="29" spans="2:3" ht="18" x14ac:dyDescent="0.2">
      <c r="B29" s="118" t="str">
        <f>Donnees!$C$33</f>
        <v>Impl. Des contrôles d'insértion (dans BDD)</v>
      </c>
      <c r="C29" s="95">
        <v>10</v>
      </c>
    </row>
    <row r="30" spans="2:3" ht="18" x14ac:dyDescent="0.2">
      <c r="B30" s="119"/>
      <c r="C30" s="96">
        <v>10</v>
      </c>
    </row>
    <row r="31" spans="2:3" ht="18" x14ac:dyDescent="0.2">
      <c r="B31" s="118" t="str">
        <f>Donnees!$C$34</f>
        <v>Impl. Méthodes gestion Fréquence Cardiaque</v>
      </c>
      <c r="C31" s="95">
        <v>10</v>
      </c>
    </row>
    <row r="32" spans="2:3" ht="18" x14ac:dyDescent="0.2">
      <c r="B32" s="119"/>
      <c r="C32" s="96">
        <v>2</v>
      </c>
    </row>
    <row r="33" spans="2:3" ht="18" x14ac:dyDescent="0.2">
      <c r="B33" s="118" t="str">
        <f>Donnees!$C$35</f>
        <v>Comportement de l'app (affichée vs cachée)</v>
      </c>
      <c r="C33" s="95">
        <v>5</v>
      </c>
    </row>
    <row r="34" spans="2:3" ht="18" x14ac:dyDescent="0.2">
      <c r="B34" s="132"/>
      <c r="C34" s="96">
        <v>0</v>
      </c>
    </row>
    <row r="35" spans="2:3" ht="18" x14ac:dyDescent="0.2">
      <c r="B35" s="118" t="str">
        <f>Donnees!$C$36</f>
        <v>Test ajout, modification suppresion d'entraînement</v>
      </c>
      <c r="C35" s="95">
        <v>5</v>
      </c>
    </row>
    <row r="36" spans="2:3" ht="18" x14ac:dyDescent="0.2">
      <c r="B36" s="119"/>
      <c r="C36" s="96">
        <v>2</v>
      </c>
    </row>
    <row r="37" spans="2:3" ht="18" x14ac:dyDescent="0.2">
      <c r="B37" s="118" t="str">
        <f>Donnees!$C$37</f>
        <v>Test gestion d'entraînment (pause, reprise)</v>
      </c>
      <c r="C37" s="95">
        <v>10</v>
      </c>
    </row>
    <row r="38" spans="2:3" ht="18" x14ac:dyDescent="0.2">
      <c r="B38" s="119"/>
      <c r="C38" s="96">
        <v>0</v>
      </c>
    </row>
    <row r="39" spans="2:3" ht="18" x14ac:dyDescent="0.2">
      <c r="B39" s="118" t="str">
        <f>Donnees!$C$38</f>
        <v>Test méthodes de gestion des fréquences cardiaques</v>
      </c>
      <c r="C39" s="95">
        <v>10</v>
      </c>
    </row>
    <row r="40" spans="2:3" ht="18" x14ac:dyDescent="0.2">
      <c r="B40" s="119"/>
      <c r="C40" s="96">
        <v>0</v>
      </c>
    </row>
    <row r="41" spans="2:3" ht="18" x14ac:dyDescent="0.2">
      <c r="B41" s="118" t="str">
        <f>Donnees!$C$39</f>
        <v xml:space="preserve">Test général de l'application </v>
      </c>
      <c r="C41" s="95">
        <v>10</v>
      </c>
    </row>
    <row r="42" spans="2:3" ht="18" x14ac:dyDescent="0.2">
      <c r="B42" s="119"/>
      <c r="C42" s="96">
        <v>4</v>
      </c>
    </row>
    <row r="43" spans="2:3" ht="18" x14ac:dyDescent="0.2">
      <c r="B43" s="118" t="str">
        <f>Donnees!$C$40</f>
        <v>Debbuging des fonctions en rapport avec la DB</v>
      </c>
      <c r="C43" s="95">
        <v>10</v>
      </c>
    </row>
    <row r="44" spans="2:3" ht="18" x14ac:dyDescent="0.2">
      <c r="B44" s="119"/>
      <c r="C44" s="96">
        <v>2</v>
      </c>
    </row>
    <row r="45" spans="2:3" ht="18" x14ac:dyDescent="0.2">
      <c r="B45" s="118" t="str">
        <f>Donnees!$C$41</f>
        <v>Debbuging des fonctions de gestion d'entraînement</v>
      </c>
      <c r="C45" s="95">
        <v>10</v>
      </c>
    </row>
    <row r="46" spans="2:3" ht="18" x14ac:dyDescent="0.2">
      <c r="B46" s="119"/>
      <c r="C46" s="96">
        <v>0</v>
      </c>
    </row>
    <row r="47" spans="2:3" ht="18" x14ac:dyDescent="0.2">
      <c r="B47" s="118" t="str">
        <f>Donnees!$C$42</f>
        <v>Debbuging du fonctionnement général de l'application</v>
      </c>
      <c r="C47" s="95">
        <v>10</v>
      </c>
    </row>
    <row r="48" spans="2:3" ht="18" x14ac:dyDescent="0.2">
      <c r="B48" s="119"/>
      <c r="C48" s="96">
        <v>20</v>
      </c>
    </row>
    <row r="49" spans="2:3" ht="18" x14ac:dyDescent="0.2">
      <c r="B49" s="118" t="str">
        <f>Donnees!$C$43</f>
        <v>Rédaction Rapport et Journal de travail</v>
      </c>
      <c r="C49" s="95">
        <v>96</v>
      </c>
    </row>
    <row r="50" spans="2:3" ht="18" x14ac:dyDescent="0.2">
      <c r="B50" s="119"/>
      <c r="C50" s="96">
        <v>126</v>
      </c>
    </row>
    <row r="51" spans="2:3" ht="18" x14ac:dyDescent="0.2">
      <c r="B51" s="118" t="str">
        <f>Donnees!$C$44</f>
        <v>Finalisation Projet - Rappot</v>
      </c>
      <c r="C51" s="95">
        <v>20</v>
      </c>
    </row>
    <row r="52" spans="2:3" ht="18" x14ac:dyDescent="0.2">
      <c r="B52" s="119"/>
      <c r="C52" s="96">
        <v>24</v>
      </c>
    </row>
    <row r="53" spans="2:3" ht="18" x14ac:dyDescent="0.2">
      <c r="B53" s="118" t="str">
        <f>Donnees!$C$45</f>
        <v>Zone Tampon</v>
      </c>
      <c r="C53" s="95">
        <v>16</v>
      </c>
    </row>
    <row r="54" spans="2:3" ht="18" x14ac:dyDescent="0.2">
      <c r="B54" s="119"/>
      <c r="C54" s="96">
        <v>0</v>
      </c>
    </row>
    <row r="55" spans="2:3" ht="18" x14ac:dyDescent="0.2">
      <c r="B55" s="47" t="s">
        <v>16</v>
      </c>
      <c r="C55" s="49">
        <f>SUM($C$3,$C$5,$C$7,$C$9,$C$11,$C$13,$C$15,$C$17,$C$19,$C$21,$C$23,$C$25,$C$27,$C$29,$C$31,$C$33,$C$35,$C$37,$C$39,$C$41,$C$43,$C$45,$C$47,$C$49,$C$51,$C$53)</f>
        <v>456</v>
      </c>
    </row>
    <row r="56" spans="2:3" ht="18.75" thickBot="1" x14ac:dyDescent="0.25">
      <c r="B56" s="48" t="s">
        <v>17</v>
      </c>
      <c r="C56" s="50">
        <f>SUM($C$4,$C$6,$C$8,$C$10,$C$12,$C$14,$C$16,$C$18,$C$20,$C$22,$C$24,$C$26,$C$28,$C$30,$C$32,$C$34,$C$36,$C$38,$C$40,$C$42,$C$44,$C$46,$C$48,$C$50,$C$52,$C$54)</f>
        <v>456</v>
      </c>
    </row>
  </sheetData>
  <mergeCells count="1">
    <mergeCell ref="B3:B4"/>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Donnees</vt:lpstr>
      <vt:lpstr>Diagramme</vt:lpstr>
      <vt:lpstr>DiagramHeader</vt:lpstr>
      <vt:lpstr>DiagramFooter</vt:lpstr>
      <vt:lpstr>PlanificationWeek</vt:lpstr>
      <vt:lpstr>Planning</vt:lpstr>
      <vt:lpstr>achievementWeek</vt:lpstr>
      <vt:lpstr>JNLTRAV</vt:lpstr>
      <vt:lpstr>Graphique</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2015-05-29T13:42:03Z</cp:lastPrinted>
  <dcterms:created xsi:type="dcterms:W3CDTF">1996-10-21T11:03:58Z</dcterms:created>
  <dcterms:modified xsi:type="dcterms:W3CDTF">2015-06-05T11:53:26Z</dcterms:modified>
  <cp:contentStatus>Version 8.0</cp:contentStatus>
</cp:coreProperties>
</file>